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Registro Plataformas" sheetId="2" r:id="rId6"/>
    <sheet state="visible" name="Resultado" sheetId="3" r:id="rId7"/>
    <sheet state="visible" name="Alertas nativas" sheetId="4" r:id="rId8"/>
  </sheets>
  <definedNames/>
  <calcPr/>
</workbook>
</file>

<file path=xl/sharedStrings.xml><?xml version="1.0" encoding="utf-8"?>
<sst xmlns="http://schemas.openxmlformats.org/spreadsheetml/2006/main" count="191" uniqueCount="149">
  <si>
    <t>RADAR CLOUD DSC — Autodiagnóstico del Pilar Plataformas (Metodología 3P+I)</t>
  </si>
  <si>
    <t>Cómo activar las alertas de fraude que ya incluye tu plataforma (sin coste extra)</t>
  </si>
  <si>
    <t>Resultado del autodiagnóstico — Pilar Plataformas</t>
  </si>
  <si>
    <t>ID</t>
  </si>
  <si>
    <t>Riesgo / señal de fraude</t>
  </si>
  <si>
    <t>Sub-área</t>
  </si>
  <si>
    <t>Causa raíz típica</t>
  </si>
  <si>
    <t>Prob.
(1-3-5)</t>
  </si>
  <si>
    <t>Impacto
(1-3-5)</t>
  </si>
  <si>
    <t>Costo
mitigación
(1-3-5)</t>
  </si>
  <si>
    <t>Score
(P×I)</t>
  </si>
  <si>
    <t>Prioridad</t>
  </si>
  <si>
    <t>Riesgos por prioridad (se calcula solo desde 'Registro Plataformas')</t>
  </si>
  <si>
    <t>Plataforma</t>
  </si>
  <si>
    <t>Acción Nivel 1 (autogestionada)</t>
  </si>
  <si>
    <t>Producto Nivel 1 · DSC Consulting</t>
  </si>
  <si>
    <t>Responsable</t>
  </si>
  <si>
    <t>Fecha límite</t>
  </si>
  <si>
    <t>Estado</t>
  </si>
  <si>
    <t>Alerta a activar</t>
  </si>
  <si>
    <t>R-01</t>
  </si>
  <si>
    <t>Dónde se activa</t>
  </si>
  <si>
    <t>Este kit forma parte de la metodología 3P+I de DSC Consulting (Personas, Procesos, Plataformas, Incidentes) y se enfoca en el pilar Plataformas: la base técnica en la nube donde ocurren la mayoría de los fraudes e incidentes de seguridad en las pymes.</t>
  </si>
  <si>
    <t>Cuentas sin autenticación multifactor (MFA) activa</t>
  </si>
  <si>
    <t>Prioridad Alta</t>
  </si>
  <si>
    <t>Relacionado</t>
  </si>
  <si>
    <t>Identidad y accesos</t>
  </si>
  <si>
    <t>Microsoft 365 / Azure (Entra ID)</t>
  </si>
  <si>
    <t>Falta de política de acceso obligatorio</t>
  </si>
  <si>
    <t>¿Qué hace este archivo?</t>
  </si>
  <si>
    <t>Alertas de inicio de sesión de riesgo / ubicación inusual</t>
  </si>
  <si>
    <t>Entra ID &gt; Protección &gt; Identity Protection &gt; Políticas de riesgo</t>
  </si>
  <si>
    <t>1. Te ayuda a identificar, con tu propio criterio, los riesgos de fraude y seguridad en tus herramientas de nube (correo, accesos, backups, proveedores).</t>
  </si>
  <si>
    <t>R-03</t>
  </si>
  <si>
    <t>2. Usa la misma escala de puntuación del método DSC (Probabilidad × Impacto, con Costo de mitigación) para priorizar qué atender primero.</t>
  </si>
  <si>
    <t>3. Te guía para activar las alertas nativas de fraude que ya incluyen tus plataformas (Microsoft 365, Google Workspace, AWS), sin coste adicional.</t>
  </si>
  <si>
    <t>4. Te indica cuándo tu nivel de riesgo justifica pasar al Nivel 2: el servicio gestionado por DSC Consulting (monitoreo continuo, respuesta a incidentes y ciclo APMM completo).</t>
  </si>
  <si>
    <t>Detección de reglas de reenvío de correo sospechosas</t>
  </si>
  <si>
    <t>Microsoft Purview / Exchange admin center &gt; Reglas de flujo de correo</t>
  </si>
  <si>
    <t>Cómo usarlo (15-20 minutos):</t>
  </si>
  <si>
    <t>R-02</t>
  </si>
  <si>
    <t>Paso 1 — Ve a la pestaña 'Registro Plataformas' y, en las columnas amarillas, ajusta Probabilidad, Impacto y Costo de mitigación según la realidad de tu empresa (ya viene con valores de ejemplo).</t>
  </si>
  <si>
    <t>Paso 2 — Revisa la pestaña 'Alertas nativas' y activa las alertas de fraude de tu proveedor de nube (es gratis, viene incluido en tu suscripción).</t>
  </si>
  <si>
    <t>Microsoft 365</t>
  </si>
  <si>
    <t>Paso 3 — Consulta la pestaña 'Resultado' para ver tu semáforo de riesgo y el siguiente paso recomendado.</t>
  </si>
  <si>
    <t>Alertas de actividad y amenazas (phishing, malware)</t>
  </si>
  <si>
    <t>Escala de puntuación (igual que en el diagnóstico 3P+I completo de DSC):</t>
  </si>
  <si>
    <t>Probabilidad:  1 improbable · 3 plausible · 5 ocurre a menudo.</t>
  </si>
  <si>
    <t>Impacto:  1 leve (sin cliente) · 3 moderado (afecta entregas/soporte) · 5 severo (pérdida de clientes/sanción).</t>
  </si>
  <si>
    <t>Prioridad Media</t>
  </si>
  <si>
    <t>Costo de mitigación:  1 bajo (horas) · 3 medio (días) · 5 alto (semanas / inversión).</t>
  </si>
  <si>
    <t>Prioridad = Score (Probabilidad × Impacto), ajustada por costo: se ataca primero lo de score alto y costo bajo/medio.</t>
  </si>
  <si>
    <t>Microsoft 365 Defender &gt; Directiva de alertas</t>
  </si>
  <si>
    <t>R-03, R-12</t>
  </si>
  <si>
    <t>Este kit es el Nivel 1 (autogestionado). El Nivel 2 — implementación, monitoreo continuo y respuesta ante fraude, gestionado por DSC Consulting — se describe en la ficha comercial adjunta.</t>
  </si>
  <si>
    <t>Requerir MFA para todos los usuarios</t>
  </si>
  <si>
    <t>Prioridad Baja</t>
  </si>
  <si>
    <t>Entra ID &gt; Directivas de acceso condicional / Seguridad predeterminada</t>
  </si>
  <si>
    <t>Activar MFA obligatorio en todas las cuentas</t>
  </si>
  <si>
    <t>Dirección/TI</t>
  </si>
  <si>
    <t>Google Workspace</t>
  </si>
  <si>
    <t>Centro de alertas de seguridad (inicio de sesión sospechoso, phishing)</t>
  </si>
  <si>
    <t>Consola de administración &gt; Seguridad &gt; Centro de alertas</t>
  </si>
  <si>
    <t>R-02, R-03</t>
  </si>
  <si>
    <t>Pendiente</t>
  </si>
  <si>
    <t>Total de riesgos evaluados</t>
  </si>
  <si>
    <t>Reglas de actividad inusual y exfiltración de datos</t>
  </si>
  <si>
    <t>Consola de administración &gt; Seguridad &gt; Reglas</t>
  </si>
  <si>
    <t>R-03, R-13</t>
  </si>
  <si>
    <t>Reglas de reenvío automático de correo no autorizadas</t>
  </si>
  <si>
    <t>Correo electrónico</t>
  </si>
  <si>
    <t>Verificación en dos pasos obligatoria</t>
  </si>
  <si>
    <t>Consola de administración &gt; Seguridad &gt; Verificación en 2 pasos</t>
  </si>
  <si>
    <t>Cuenta comprometida sin detectar</t>
  </si>
  <si>
    <t>AWS</t>
  </si>
  <si>
    <t>Detección de amenazas (accesos anómalos, IPs maliciosas)</t>
  </si>
  <si>
    <t>Consola AWS &gt; GuardDuty &gt; Activar detector</t>
  </si>
  <si>
    <t>Alertas de gasto o consumo inusual</t>
  </si>
  <si>
    <t>Consola AWS &gt; Billing &gt; AWS Budgets &gt; Crear alarma</t>
  </si>
  <si>
    <t>R-05</t>
  </si>
  <si>
    <t>Semáforo y siguiente paso recomendado</t>
  </si>
  <si>
    <t>Revisar y eliminar reglas de reenvío desconocidas; activar alerta nativa</t>
  </si>
  <si>
    <t>TI/Admin</t>
  </si>
  <si>
    <t>Resultado</t>
  </si>
  <si>
    <t>Registro y trazabilidad de cambios críticos</t>
  </si>
  <si>
    <t>Consola AWS &gt; CloudTrail + CloudWatch Alarms</t>
  </si>
  <si>
    <t>R-11</t>
  </si>
  <si>
    <t>Ausencia de alertas de inicio de sesión inusual</t>
  </si>
  <si>
    <t>MFA obligatorio para usuarios raíz e IAM</t>
  </si>
  <si>
    <t>Alertas y monitoreo</t>
  </si>
  <si>
    <t>Consola AWS &gt; IAM &gt; Añadir MFA</t>
  </si>
  <si>
    <t>Configuración por defecto sin activar</t>
  </si>
  <si>
    <t>Nota: estas alertas ya están incluidas en tu suscripción actual; solo hay que activarlas. Si tu equipo no tiene tiempo o conocimiento técnico para configurarlas y darles seguimiento, eso es exactamente lo que cubre el Nivel 2 gestionado por DSC Consulting.</t>
  </si>
  <si>
    <t>Activar alertas nativas (Defender / Alert Center / GuardDuty)</t>
  </si>
  <si>
    <t>🔴 RIESGO ALTO (4+ riesgos en prioridad Alta): tu empresa está expuesta a fraude en la nube de forma activa. Recomendamos pasar al Nivel 2 (DSC gestiona la implementación y el monitoreo) antes de 30 días.
🟠 RIESGO MEDIO (2-3 Alta, o 5+ Media): ya activaste algunas defensas, pero quedan brechas importantes. Puedes seguir con el Nivel 1 si completas las acciones pendientes en las próximas 2-4 semanas; si no hay tiempo/recursos internos, el Nivel 2 acelera el cierre.
🟢 RIESGO CONTROLADO (0-1 Alta): buen nivel básico. Mantén el Nivel 1 con revisión trimestral y repite este autodiagnóstico cada 90 días.</t>
  </si>
  <si>
    <t>R-04</t>
  </si>
  <si>
    <t>Cuentas de exempleados o inactivas sin desactivar</t>
  </si>
  <si>
    <t>¿Listo para el Nivel 2? Escribe a DSC Consulting — implementación, monitoreo continuo y respuesta ante fraude gestionados por el equipo, dentro del método 3P+I / ciclo APMM.</t>
  </si>
  <si>
    <t>Falta de proceso de baja</t>
  </si>
  <si>
    <t>Revisar y desactivar accesos cada 90 días</t>
  </si>
  <si>
    <t>RRHH/TI</t>
  </si>
  <si>
    <t>Sin alerta de gasto o consumo inusual en la nube</t>
  </si>
  <si>
    <t>Presupuestos/alarmas no configurados</t>
  </si>
  <si>
    <t>Configurar alertas de facturación (AWS Budgets / panel admin)</t>
  </si>
  <si>
    <t>Administración</t>
  </si>
  <si>
    <t>R-06</t>
  </si>
  <si>
    <t>Backups sin prueba de restauración</t>
  </si>
  <si>
    <t>Datos y continuidad</t>
  </si>
  <si>
    <t>Falta de simulacro periódico</t>
  </si>
  <si>
    <t>Programar prueba trimestral de restauración</t>
  </si>
  <si>
    <t>R-07</t>
  </si>
  <si>
    <t>Acceso de terceros/proveedores sin auditar</t>
  </si>
  <si>
    <t>Terceros y dispositivos</t>
  </si>
  <si>
    <t>Permisos heredados sin revisión</t>
  </si>
  <si>
    <t>Auditar accesos externos y aplicar mínimo privilegio</t>
  </si>
  <si>
    <t>R-08</t>
  </si>
  <si>
    <t>Dispositivos sin antivirus/EDR o actualizaciones al día</t>
  </si>
  <si>
    <t>Falta de política de dispositivos (BYOD)</t>
  </si>
  <si>
    <t>Exigir EDR y actualizaciones automáticas</t>
  </si>
  <si>
    <t>R-09</t>
  </si>
  <si>
    <t>Falta de SPF/DKIM/DMARC en el dominio de correo</t>
  </si>
  <si>
    <t>Configuración técnica pendiente</t>
  </si>
  <si>
    <t>Configurar registros de autenticación del dominio</t>
  </si>
  <si>
    <t>TI/Proveedor web</t>
  </si>
  <si>
    <t>R-10</t>
  </si>
  <si>
    <t>Contraseñas compartidas o reutilizadas</t>
  </si>
  <si>
    <t>Cultura y hábito del equipo</t>
  </si>
  <si>
    <t>Implementar gestor de contraseñas + política interna</t>
  </si>
  <si>
    <t>Dirección</t>
  </si>
  <si>
    <t>Sin notificación ante cambios de permisos/roles críticos</t>
  </si>
  <si>
    <t>Alertas administrativas desactivadas</t>
  </si>
  <si>
    <t>Activar notificaciones de cambios administrativos</t>
  </si>
  <si>
    <t>R-12</t>
  </si>
  <si>
    <t>Equipo sin capacitación en phishing/ingeniería social</t>
  </si>
  <si>
    <t>Personas × Plataforma</t>
  </si>
  <si>
    <t>Falta de formación práctica</t>
  </si>
  <si>
    <t>Capacitación breve + simulacro de phishing</t>
  </si>
  <si>
    <t>Dirección/RRHH</t>
  </si>
  <si>
    <t>R-13</t>
  </si>
  <si>
    <t>Datos sensibles sin cifrar en tránsito/reposo</t>
  </si>
  <si>
    <t>Configuración por defecto insuficiente</t>
  </si>
  <si>
    <t>Activar cifrado nativo de la plataforma</t>
  </si>
  <si>
    <t>R-14</t>
  </si>
  <si>
    <t>Sin responsable asignado ante alerta de fraude</t>
  </si>
  <si>
    <t>Personas / Incidentes</t>
  </si>
  <si>
    <t>Falta de protocolo de respuesta</t>
  </si>
  <si>
    <t>Definir responsable y playbook de una página</t>
  </si>
  <si>
    <t>Leyenda de columnas amarillas:</t>
  </si>
  <si>
    <t>Edita Probabilidad (E), Impacto (F), Costo de mitigación (G), Fecha límite (L) y Estado (M) según tu empresa. El Score y la Prioridad se recalculan solos. Añade filas nuevas (R-15, R-16...) si detectas más riesgos.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</si>
</sst>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3.0"/>
      <color rgb="FFFFFFFF"/>
      <name val="Arial"/>
    </font>
    <font>
      <b/>
      <sz val="18.0"/>
      <color rgb="FFFFFFFF"/>
      <name val="Arial"/>
    </font>
    <font/>
    <font>
      <b/>
      <sz val="12.0"/>
      <color rgb="FF0E7C7B"/>
      <name val="Arial"/>
    </font>
    <font>
      <b/>
      <sz val="11.0"/>
      <color rgb="FF1F2A44"/>
      <name val="Arial"/>
    </font>
    <font>
      <sz val="10.0"/>
      <color rgb="FF333333"/>
      <name val="Arial"/>
    </font>
    <font>
      <b/>
      <sz val="10.0"/>
      <color rgb="FF333333"/>
      <name val="Arial"/>
    </font>
    <font>
      <b/>
      <sz val="12.0"/>
      <color theme="1"/>
      <name val="Arial"/>
    </font>
    <font>
      <b/>
      <sz val="10.0"/>
      <color rgb="FF1F2A44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12.0"/>
      <color rgb="FF666666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i/>
      <sz val="9.0"/>
      <color rgb="FF66666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0E7C7B"/>
        <bgColor rgb="FF0E7C7B"/>
      </patternFill>
    </fill>
    <fill>
      <patternFill patternType="solid">
        <fgColor rgb="FFEAF2F1"/>
        <bgColor rgb="FFEAF2F1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1" fillId="4" fontId="7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bottom" wrapText="0"/>
    </xf>
    <xf borderId="1" fillId="7" fontId="9" numFmtId="0" xfId="0" applyAlignment="1" applyBorder="1" applyFill="1" applyFont="1">
      <alignment horizontal="center" shrinkToFit="0" vertical="bottom" wrapText="0"/>
    </xf>
    <xf borderId="5" fillId="7" fontId="10" numFmtId="0" xfId="0" applyAlignment="1" applyBorder="1" applyFont="1">
      <alignment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5" fontId="7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8" fontId="9" numFmtId="0" xfId="0" applyAlignment="1" applyBorder="1" applyFill="1" applyFont="1">
      <alignment horizontal="center" shrinkToFit="0" vertical="bottom" wrapText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shrinkToFit="0" vertical="top" wrapText="1"/>
    </xf>
    <xf borderId="13" fillId="0" fontId="9" numFmtId="0" xfId="0" applyAlignment="1" applyBorder="1" applyFont="1">
      <alignment shrinkToFit="0" vertical="bottom" wrapText="0"/>
    </xf>
    <xf borderId="14" fillId="0" fontId="4" numFmtId="0" xfId="0" applyBorder="1" applyFont="1"/>
    <xf borderId="5" fillId="3" fontId="14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3" width="30.0"/>
    <col customWidth="1" min="4" max="8" width="16.0"/>
    <col customWidth="1" min="9" max="26" width="8.71"/>
  </cols>
  <sheetData>
    <row r="1" ht="33.75" customHeight="1">
      <c r="A1" s="3" t="s">
        <v>0</v>
      </c>
      <c r="B1" s="4"/>
      <c r="C1" s="4"/>
      <c r="D1" s="4"/>
      <c r="E1" s="4"/>
      <c r="F1" s="4"/>
      <c r="G1" s="4"/>
      <c r="H1" s="5"/>
    </row>
    <row r="3">
      <c r="B3" s="7" t="s">
        <v>15</v>
      </c>
    </row>
    <row r="5" ht="25.5" customHeight="1">
      <c r="B5" s="10" t="s">
        <v>22</v>
      </c>
    </row>
    <row r="6" ht="7.5" customHeight="1">
      <c r="B6" s="10"/>
    </row>
    <row r="7" ht="15.75" customHeight="1">
      <c r="B7" s="13" t="s">
        <v>29</v>
      </c>
    </row>
    <row r="8" ht="25.5" customHeight="1">
      <c r="B8" s="10" t="s">
        <v>32</v>
      </c>
    </row>
    <row r="9" ht="25.5" customHeight="1">
      <c r="B9" s="10" t="s">
        <v>34</v>
      </c>
    </row>
    <row r="10" ht="25.5" customHeight="1">
      <c r="B10" s="10" t="s">
        <v>35</v>
      </c>
    </row>
    <row r="11" ht="25.5" customHeight="1">
      <c r="B11" s="10" t="s">
        <v>36</v>
      </c>
    </row>
    <row r="12" ht="7.5" customHeight="1">
      <c r="B12" s="10"/>
    </row>
    <row r="13" ht="15.75" customHeight="1">
      <c r="B13" s="13" t="s">
        <v>39</v>
      </c>
    </row>
    <row r="14" ht="25.5" customHeight="1">
      <c r="B14" s="10" t="s">
        <v>41</v>
      </c>
    </row>
    <row r="15" ht="25.5" customHeight="1">
      <c r="B15" s="10" t="s">
        <v>42</v>
      </c>
    </row>
    <row r="16" ht="25.5" customHeight="1">
      <c r="B16" s="10" t="s">
        <v>44</v>
      </c>
    </row>
    <row r="17" ht="7.5" customHeight="1">
      <c r="B17" s="10"/>
    </row>
    <row r="18" ht="15.75" customHeight="1">
      <c r="B18" s="13" t="s">
        <v>46</v>
      </c>
    </row>
    <row r="19" ht="15.75" customHeight="1">
      <c r="B19" s="10" t="s">
        <v>47</v>
      </c>
    </row>
    <row r="20" ht="25.5" customHeight="1">
      <c r="B20" s="10" t="s">
        <v>48</v>
      </c>
    </row>
    <row r="21" ht="15.75" customHeight="1">
      <c r="B21" s="10" t="s">
        <v>50</v>
      </c>
    </row>
    <row r="22" ht="25.5" customHeight="1">
      <c r="B22" s="10" t="s">
        <v>51</v>
      </c>
    </row>
    <row r="23" ht="15.75" customHeight="1"/>
    <row r="24" ht="19.5" customHeight="1">
      <c r="B24" s="19" t="s">
        <v>54</v>
      </c>
      <c r="C24" s="20"/>
      <c r="D24" s="20"/>
      <c r="E24" s="20"/>
      <c r="F24" s="20"/>
      <c r="G24" s="20"/>
      <c r="H24" s="21"/>
    </row>
    <row r="25" ht="15.75" customHeight="1">
      <c r="B25" s="23"/>
      <c r="H25" s="25"/>
    </row>
    <row r="26" ht="15.75" customHeight="1">
      <c r="B26" s="26"/>
      <c r="C26" s="27"/>
      <c r="D26" s="27"/>
      <c r="E26" s="27"/>
      <c r="F26" s="27"/>
      <c r="G26" s="27"/>
      <c r="H26" s="2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H1"/>
    <mergeCell ref="B5:H5"/>
    <mergeCell ref="B6:H6"/>
    <mergeCell ref="B7:H7"/>
    <mergeCell ref="B8:H8"/>
    <mergeCell ref="B9:H9"/>
    <mergeCell ref="B10:H10"/>
    <mergeCell ref="B18:H18"/>
    <mergeCell ref="B19:H19"/>
    <mergeCell ref="B20:H20"/>
    <mergeCell ref="B21:H21"/>
    <mergeCell ref="B22:H22"/>
    <mergeCell ref="B24:H26"/>
    <mergeCell ref="B11:H11"/>
    <mergeCell ref="B12:H12"/>
    <mergeCell ref="B13:H13"/>
    <mergeCell ref="B14:H14"/>
    <mergeCell ref="B15:H15"/>
    <mergeCell ref="B16:H16"/>
    <mergeCell ref="B17:H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8.0"/>
    <col customWidth="1" min="4" max="4" width="26.0"/>
    <col customWidth="1" min="5" max="6" width="8.0"/>
    <col customWidth="1" min="7" max="7" width="9.0"/>
    <col customWidth="1" min="8" max="8" width="8.0"/>
    <col customWidth="1" min="9" max="9" width="10.0"/>
    <col customWidth="1" min="10" max="10" width="40.0"/>
    <col customWidth="1" min="11" max="11" width="14.0"/>
    <col customWidth="1" min="12" max="13" width="12.0"/>
    <col customWidth="1" min="14" max="14" width="16.86"/>
    <col customWidth="1" min="15" max="26" width="8.71"/>
  </cols>
  <sheetData>
    <row r="1" ht="39.7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16</v>
      </c>
      <c r="L1" s="1" t="s">
        <v>17</v>
      </c>
      <c r="M1" s="1" t="s">
        <v>18</v>
      </c>
    </row>
    <row r="2" ht="30.0" customHeight="1">
      <c r="A2" s="9" t="s">
        <v>20</v>
      </c>
      <c r="B2" s="11" t="s">
        <v>23</v>
      </c>
      <c r="C2" s="11" t="s">
        <v>26</v>
      </c>
      <c r="D2" s="11" t="s">
        <v>28</v>
      </c>
      <c r="E2" s="15">
        <v>2.0</v>
      </c>
      <c r="F2" s="15">
        <v>4.0</v>
      </c>
      <c r="G2" s="15">
        <v>3.0</v>
      </c>
      <c r="H2" s="9">
        <f t="shared" ref="H2:H15" si="1">E2*F2</f>
        <v>8</v>
      </c>
      <c r="I2" s="9" t="str">
        <f t="shared" ref="I2:I15" si="2">IF(H2&gt;=15,"Alta",IF(H2&gt;=8,"Media","Baja"))</f>
        <v>Media</v>
      </c>
      <c r="J2" s="11" t="s">
        <v>58</v>
      </c>
      <c r="K2" s="11" t="s">
        <v>59</v>
      </c>
      <c r="L2" s="22"/>
      <c r="M2" s="22" t="s">
        <v>64</v>
      </c>
    </row>
    <row r="3" ht="30.0" customHeight="1">
      <c r="A3" s="16" t="s">
        <v>40</v>
      </c>
      <c r="B3" s="11" t="s">
        <v>69</v>
      </c>
      <c r="C3" s="14" t="s">
        <v>70</v>
      </c>
      <c r="D3" s="14" t="s">
        <v>73</v>
      </c>
      <c r="E3" s="22">
        <v>3.0</v>
      </c>
      <c r="F3" s="22">
        <v>5.0</v>
      </c>
      <c r="G3" s="22">
        <v>1.0</v>
      </c>
      <c r="H3" s="9">
        <f t="shared" si="1"/>
        <v>15</v>
      </c>
      <c r="I3" s="9" t="str">
        <f t="shared" si="2"/>
        <v>Alta</v>
      </c>
      <c r="J3" s="11" t="s">
        <v>81</v>
      </c>
      <c r="K3" s="14" t="s">
        <v>82</v>
      </c>
      <c r="L3" s="16"/>
      <c r="M3" s="22" t="s">
        <v>64</v>
      </c>
    </row>
    <row r="4" ht="30.0" customHeight="1">
      <c r="A4" s="9" t="s">
        <v>33</v>
      </c>
      <c r="B4" s="11" t="s">
        <v>87</v>
      </c>
      <c r="C4" s="11" t="s">
        <v>89</v>
      </c>
      <c r="D4" s="11" t="s">
        <v>91</v>
      </c>
      <c r="E4" s="22">
        <v>4.0</v>
      </c>
      <c r="F4" s="22">
        <v>4.0</v>
      </c>
      <c r="G4" s="22">
        <v>1.0</v>
      </c>
      <c r="H4" s="9">
        <f t="shared" si="1"/>
        <v>16</v>
      </c>
      <c r="I4" s="9" t="str">
        <f t="shared" si="2"/>
        <v>Alta</v>
      </c>
      <c r="J4" s="11" t="s">
        <v>93</v>
      </c>
      <c r="K4" s="11" t="s">
        <v>82</v>
      </c>
      <c r="L4" s="22"/>
      <c r="M4" s="22" t="s">
        <v>64</v>
      </c>
    </row>
    <row r="5" ht="30.0" customHeight="1">
      <c r="A5" s="16" t="s">
        <v>95</v>
      </c>
      <c r="B5" s="11" t="s">
        <v>96</v>
      </c>
      <c r="C5" s="14" t="s">
        <v>26</v>
      </c>
      <c r="D5" s="14" t="s">
        <v>98</v>
      </c>
      <c r="E5" s="22">
        <v>3.0</v>
      </c>
      <c r="F5" s="22">
        <v>4.0</v>
      </c>
      <c r="G5" s="22">
        <v>1.0</v>
      </c>
      <c r="H5" s="9">
        <f t="shared" si="1"/>
        <v>12</v>
      </c>
      <c r="I5" s="9" t="str">
        <f t="shared" si="2"/>
        <v>Media</v>
      </c>
      <c r="J5" s="11" t="s">
        <v>99</v>
      </c>
      <c r="K5" s="14" t="s">
        <v>100</v>
      </c>
      <c r="L5" s="16"/>
      <c r="M5" s="22" t="s">
        <v>64</v>
      </c>
    </row>
    <row r="6" ht="30.0" customHeight="1">
      <c r="A6" s="9" t="s">
        <v>79</v>
      </c>
      <c r="B6" s="11" t="s">
        <v>101</v>
      </c>
      <c r="C6" s="11" t="s">
        <v>89</v>
      </c>
      <c r="D6" s="11" t="s">
        <v>102</v>
      </c>
      <c r="E6" s="22">
        <v>2.0</v>
      </c>
      <c r="F6" s="22">
        <v>3.0</v>
      </c>
      <c r="G6" s="22">
        <v>1.0</v>
      </c>
      <c r="H6" s="9">
        <f t="shared" si="1"/>
        <v>6</v>
      </c>
      <c r="I6" s="9" t="str">
        <f t="shared" si="2"/>
        <v>Baja</v>
      </c>
      <c r="J6" s="11" t="s">
        <v>103</v>
      </c>
      <c r="K6" s="11" t="s">
        <v>104</v>
      </c>
      <c r="L6" s="22"/>
      <c r="M6" s="22" t="s">
        <v>64</v>
      </c>
    </row>
    <row r="7" ht="30.0" customHeight="1">
      <c r="A7" s="16" t="s">
        <v>105</v>
      </c>
      <c r="B7" s="11" t="s">
        <v>106</v>
      </c>
      <c r="C7" s="14" t="s">
        <v>107</v>
      </c>
      <c r="D7" s="14" t="s">
        <v>108</v>
      </c>
      <c r="E7" s="22">
        <v>3.0</v>
      </c>
      <c r="F7" s="22">
        <v>5.0</v>
      </c>
      <c r="G7" s="22">
        <v>2.0</v>
      </c>
      <c r="H7" s="9">
        <f t="shared" si="1"/>
        <v>15</v>
      </c>
      <c r="I7" s="9" t="str">
        <f t="shared" si="2"/>
        <v>Alta</v>
      </c>
      <c r="J7" s="11" t="s">
        <v>109</v>
      </c>
      <c r="K7" s="14" t="s">
        <v>82</v>
      </c>
      <c r="L7" s="16"/>
      <c r="M7" s="22" t="s">
        <v>64</v>
      </c>
    </row>
    <row r="8" ht="30.0" customHeight="1">
      <c r="A8" s="9" t="s">
        <v>110</v>
      </c>
      <c r="B8" s="11" t="s">
        <v>111</v>
      </c>
      <c r="C8" s="11" t="s">
        <v>112</v>
      </c>
      <c r="D8" s="11" t="s">
        <v>113</v>
      </c>
      <c r="E8" s="22">
        <v>3.0</v>
      </c>
      <c r="F8" s="22">
        <v>4.0</v>
      </c>
      <c r="G8" s="22">
        <v>2.0</v>
      </c>
      <c r="H8" s="9">
        <f t="shared" si="1"/>
        <v>12</v>
      </c>
      <c r="I8" s="9" t="str">
        <f t="shared" si="2"/>
        <v>Media</v>
      </c>
      <c r="J8" s="11" t="s">
        <v>114</v>
      </c>
      <c r="K8" s="11" t="s">
        <v>59</v>
      </c>
      <c r="L8" s="22"/>
      <c r="M8" s="22" t="s">
        <v>64</v>
      </c>
    </row>
    <row r="9" ht="30.0" customHeight="1">
      <c r="A9" s="16" t="s">
        <v>115</v>
      </c>
      <c r="B9" s="11" t="s">
        <v>116</v>
      </c>
      <c r="C9" s="14" t="s">
        <v>112</v>
      </c>
      <c r="D9" s="14" t="s">
        <v>117</v>
      </c>
      <c r="E9" s="22">
        <v>3.0</v>
      </c>
      <c r="F9" s="22">
        <v>3.0</v>
      </c>
      <c r="G9" s="22">
        <v>2.0</v>
      </c>
      <c r="H9" s="9">
        <f t="shared" si="1"/>
        <v>9</v>
      </c>
      <c r="I9" s="9" t="str">
        <f t="shared" si="2"/>
        <v>Media</v>
      </c>
      <c r="J9" s="11" t="s">
        <v>118</v>
      </c>
      <c r="K9" s="14" t="s">
        <v>82</v>
      </c>
      <c r="L9" s="16"/>
      <c r="M9" s="22" t="s">
        <v>64</v>
      </c>
    </row>
    <row r="10" ht="30.0" customHeight="1">
      <c r="A10" s="9" t="s">
        <v>119</v>
      </c>
      <c r="B10" s="11" t="s">
        <v>120</v>
      </c>
      <c r="C10" s="11" t="s">
        <v>70</v>
      </c>
      <c r="D10" s="11" t="s">
        <v>121</v>
      </c>
      <c r="E10" s="22">
        <v>3.0</v>
      </c>
      <c r="F10" s="22">
        <v>4.0</v>
      </c>
      <c r="G10" s="22">
        <v>1.0</v>
      </c>
      <c r="H10" s="9">
        <f t="shared" si="1"/>
        <v>12</v>
      </c>
      <c r="I10" s="9" t="str">
        <f t="shared" si="2"/>
        <v>Media</v>
      </c>
      <c r="J10" s="11" t="s">
        <v>122</v>
      </c>
      <c r="K10" s="11" t="s">
        <v>123</v>
      </c>
      <c r="L10" s="22"/>
      <c r="M10" s="22" t="s">
        <v>64</v>
      </c>
    </row>
    <row r="11" ht="30.0" customHeight="1">
      <c r="A11" s="16" t="s">
        <v>124</v>
      </c>
      <c r="B11" s="11" t="s">
        <v>125</v>
      </c>
      <c r="C11" s="14" t="s">
        <v>26</v>
      </c>
      <c r="D11" s="14" t="s">
        <v>126</v>
      </c>
      <c r="E11" s="22">
        <v>4.0</v>
      </c>
      <c r="F11" s="22">
        <v>4.0</v>
      </c>
      <c r="G11" s="22">
        <v>1.0</v>
      </c>
      <c r="H11" s="9">
        <f t="shared" si="1"/>
        <v>16</v>
      </c>
      <c r="I11" s="9" t="str">
        <f t="shared" si="2"/>
        <v>Alta</v>
      </c>
      <c r="J11" s="11" t="s">
        <v>127</v>
      </c>
      <c r="K11" s="14" t="s">
        <v>128</v>
      </c>
      <c r="L11" s="16"/>
      <c r="M11" s="22" t="s">
        <v>64</v>
      </c>
    </row>
    <row r="12" ht="30.0" customHeight="1">
      <c r="A12" s="9" t="s">
        <v>86</v>
      </c>
      <c r="B12" s="11" t="s">
        <v>129</v>
      </c>
      <c r="C12" s="11" t="s">
        <v>89</v>
      </c>
      <c r="D12" s="11" t="s">
        <v>130</v>
      </c>
      <c r="E12" s="22">
        <v>3.0</v>
      </c>
      <c r="F12" s="22">
        <v>4.0</v>
      </c>
      <c r="G12" s="22">
        <v>1.0</v>
      </c>
      <c r="H12" s="9">
        <f t="shared" si="1"/>
        <v>12</v>
      </c>
      <c r="I12" s="9" t="str">
        <f t="shared" si="2"/>
        <v>Media</v>
      </c>
      <c r="J12" s="11" t="s">
        <v>131</v>
      </c>
      <c r="K12" s="11" t="s">
        <v>82</v>
      </c>
      <c r="L12" s="22"/>
      <c r="M12" s="22" t="s">
        <v>64</v>
      </c>
    </row>
    <row r="13" ht="30.0" customHeight="1">
      <c r="A13" s="16" t="s">
        <v>132</v>
      </c>
      <c r="B13" s="11" t="s">
        <v>133</v>
      </c>
      <c r="C13" s="14" t="s">
        <v>134</v>
      </c>
      <c r="D13" s="14" t="s">
        <v>135</v>
      </c>
      <c r="E13" s="22">
        <v>4.0</v>
      </c>
      <c r="F13" s="22">
        <v>4.0</v>
      </c>
      <c r="G13" s="15">
        <v>2.0</v>
      </c>
      <c r="H13" s="9">
        <f t="shared" si="1"/>
        <v>16</v>
      </c>
      <c r="I13" s="9" t="str">
        <f t="shared" si="2"/>
        <v>Alta</v>
      </c>
      <c r="J13" s="11" t="s">
        <v>136</v>
      </c>
      <c r="K13" s="14" t="s">
        <v>137</v>
      </c>
      <c r="L13" s="16"/>
      <c r="M13" s="22" t="s">
        <v>64</v>
      </c>
    </row>
    <row r="14" ht="30.0" customHeight="1">
      <c r="A14" s="9" t="s">
        <v>138</v>
      </c>
      <c r="B14" s="11" t="s">
        <v>139</v>
      </c>
      <c r="C14" s="11" t="s">
        <v>107</v>
      </c>
      <c r="D14" s="11" t="s">
        <v>140</v>
      </c>
      <c r="E14" s="22">
        <v>2.0</v>
      </c>
      <c r="F14" s="22">
        <v>5.0</v>
      </c>
      <c r="G14" s="22">
        <v>2.0</v>
      </c>
      <c r="H14" s="9">
        <f t="shared" si="1"/>
        <v>10</v>
      </c>
      <c r="I14" s="9" t="str">
        <f t="shared" si="2"/>
        <v>Media</v>
      </c>
      <c r="J14" s="11" t="s">
        <v>141</v>
      </c>
      <c r="K14" s="11" t="s">
        <v>82</v>
      </c>
      <c r="L14" s="22"/>
      <c r="M14" s="22" t="s">
        <v>64</v>
      </c>
    </row>
    <row r="15" ht="30.0" customHeight="1">
      <c r="A15" s="16" t="s">
        <v>142</v>
      </c>
      <c r="B15" s="11" t="s">
        <v>143</v>
      </c>
      <c r="C15" s="14" t="s">
        <v>144</v>
      </c>
      <c r="D15" s="14" t="s">
        <v>145</v>
      </c>
      <c r="E15" s="22">
        <v>3.0</v>
      </c>
      <c r="F15" s="22">
        <v>5.0</v>
      </c>
      <c r="G15" s="15">
        <v>3.0</v>
      </c>
      <c r="H15" s="9">
        <f t="shared" si="1"/>
        <v>15</v>
      </c>
      <c r="I15" s="9" t="str">
        <f t="shared" si="2"/>
        <v>Alta</v>
      </c>
      <c r="J15" s="11" t="s">
        <v>146</v>
      </c>
      <c r="K15" s="14" t="s">
        <v>128</v>
      </c>
      <c r="L15" s="16"/>
      <c r="M15" s="22" t="s">
        <v>64</v>
      </c>
    </row>
    <row r="17">
      <c r="A17" s="35" t="s">
        <v>147</v>
      </c>
    </row>
    <row r="18" ht="15.0" customHeight="1">
      <c r="A18" s="36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D17"/>
    <mergeCell ref="A18:M18"/>
  </mergeCells>
  <dataValidations>
    <dataValidation type="list" allowBlank="1" sqref="E2:G15">
      <formula1>"1,2,3,4,5"</formula1>
    </dataValidation>
    <dataValidation type="list" allowBlank="1" sqref="M2:M15">
      <formula1>"Pendiente,En curso,Resuelto"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18.0"/>
    <col customWidth="1" min="5" max="5" width="40.0"/>
    <col customWidth="1" min="6" max="26" width="8.71"/>
  </cols>
  <sheetData>
    <row r="1" ht="30.0" customHeight="1">
      <c r="A1" s="2" t="s">
        <v>2</v>
      </c>
      <c r="B1" s="4"/>
      <c r="C1" s="4"/>
      <c r="D1" s="4"/>
      <c r="E1" s="5"/>
    </row>
    <row r="3">
      <c r="A3" s="8" t="s">
        <v>12</v>
      </c>
    </row>
    <row r="4">
      <c r="A4" s="12" t="s">
        <v>24</v>
      </c>
      <c r="B4" s="17">
        <f>COUNTIF('Registro Plataformas'!I2:I15,"Alta")</f>
        <v>6</v>
      </c>
    </row>
    <row r="5">
      <c r="A5" s="12" t="s">
        <v>49</v>
      </c>
      <c r="B5" s="18">
        <f>COUNTIF('Registro Plataformas'!I2:I15,"Media")</f>
        <v>7</v>
      </c>
    </row>
    <row r="6">
      <c r="A6" s="12" t="s">
        <v>56</v>
      </c>
      <c r="B6" s="24">
        <f>COUNTIF('Registro Plataformas'!I2:I15,"Baja")</f>
        <v>1</v>
      </c>
    </row>
    <row r="8">
      <c r="A8" s="12" t="s">
        <v>65</v>
      </c>
      <c r="B8" s="29">
        <f>COUNTA('Registro Plataformas'!A2:A15)</f>
        <v>14</v>
      </c>
    </row>
    <row r="10">
      <c r="A10" s="8" t="s">
        <v>80</v>
      </c>
    </row>
    <row r="11">
      <c r="A11" s="30" t="s">
        <v>83</v>
      </c>
      <c r="B11" s="32" t="str">
        <f>IF(B4&gt;=4,"🔴 RIESGO ALTO",IF(B4&gt;=2,"🟠 RIESGO MEDIO",IF(B5&gt;=5,"🟠 RIESGO MEDIO","🟢 RIESGO CONTROLADO")))</f>
        <v>🔴 RIESGO ALTO</v>
      </c>
      <c r="C11" s="33"/>
    </row>
    <row r="12" ht="19.5" customHeight="1">
      <c r="A12" s="10" t="s">
        <v>94</v>
      </c>
    </row>
    <row r="21" ht="15.75" customHeight="1"/>
    <row r="22" ht="19.5" customHeight="1">
      <c r="A22" s="34" t="s">
        <v>97</v>
      </c>
      <c r="B22" s="20"/>
      <c r="C22" s="20"/>
      <c r="D22" s="20"/>
      <c r="E22" s="21"/>
    </row>
    <row r="23" ht="15.75" customHeight="1">
      <c r="A23" s="26"/>
      <c r="B23" s="27"/>
      <c r="C23" s="27"/>
      <c r="D23" s="27"/>
      <c r="E23" s="2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0:E10"/>
    <mergeCell ref="B11:C11"/>
    <mergeCell ref="A12:E20"/>
    <mergeCell ref="A22:E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34.0"/>
    <col customWidth="1" min="4" max="4" width="15.14"/>
    <col customWidth="1" min="5" max="26" width="8.71"/>
  </cols>
  <sheetData>
    <row r="1" ht="30.0" customHeight="1">
      <c r="A1" s="2" t="s">
        <v>1</v>
      </c>
      <c r="B1" s="4"/>
      <c r="C1" s="4"/>
      <c r="D1" s="5"/>
    </row>
    <row r="2" ht="19.5" customHeight="1">
      <c r="A2" s="6" t="s">
        <v>13</v>
      </c>
      <c r="B2" s="6" t="s">
        <v>19</v>
      </c>
      <c r="C2" s="6" t="s">
        <v>21</v>
      </c>
      <c r="D2" s="6" t="s">
        <v>25</v>
      </c>
    </row>
    <row r="3" ht="27.75" customHeight="1">
      <c r="A3" s="11" t="s">
        <v>27</v>
      </c>
      <c r="B3" s="11" t="s">
        <v>30</v>
      </c>
      <c r="C3" s="11" t="s">
        <v>31</v>
      </c>
      <c r="D3" s="9" t="s">
        <v>33</v>
      </c>
    </row>
    <row r="4" ht="27.75" customHeight="1">
      <c r="A4" s="14" t="s">
        <v>27</v>
      </c>
      <c r="B4" s="14" t="s">
        <v>37</v>
      </c>
      <c r="C4" s="14" t="s">
        <v>38</v>
      </c>
      <c r="D4" s="16" t="s">
        <v>40</v>
      </c>
    </row>
    <row r="5" ht="27.75" customHeight="1">
      <c r="A5" s="11" t="s">
        <v>43</v>
      </c>
      <c r="B5" s="11" t="s">
        <v>45</v>
      </c>
      <c r="C5" s="11" t="s">
        <v>52</v>
      </c>
      <c r="D5" s="9" t="s">
        <v>53</v>
      </c>
    </row>
    <row r="6" ht="27.75" customHeight="1">
      <c r="A6" s="14" t="s">
        <v>43</v>
      </c>
      <c r="B6" s="14" t="s">
        <v>55</v>
      </c>
      <c r="C6" s="14" t="s">
        <v>57</v>
      </c>
      <c r="D6" s="16" t="s">
        <v>20</v>
      </c>
    </row>
    <row r="7" ht="27.75" customHeight="1">
      <c r="A7" s="11" t="s">
        <v>60</v>
      </c>
      <c r="B7" s="11" t="s">
        <v>61</v>
      </c>
      <c r="C7" s="11" t="s">
        <v>62</v>
      </c>
      <c r="D7" s="9" t="s">
        <v>63</v>
      </c>
    </row>
    <row r="8" ht="27.75" customHeight="1">
      <c r="A8" s="14" t="s">
        <v>60</v>
      </c>
      <c r="B8" s="14" t="s">
        <v>66</v>
      </c>
      <c r="C8" s="14" t="s">
        <v>67</v>
      </c>
      <c r="D8" s="16" t="s">
        <v>68</v>
      </c>
    </row>
    <row r="9" ht="27.75" customHeight="1">
      <c r="A9" s="11" t="s">
        <v>60</v>
      </c>
      <c r="B9" s="11" t="s">
        <v>71</v>
      </c>
      <c r="C9" s="11" t="s">
        <v>72</v>
      </c>
      <c r="D9" s="9" t="s">
        <v>20</v>
      </c>
    </row>
    <row r="10" ht="27.75" customHeight="1">
      <c r="A10" s="14" t="s">
        <v>74</v>
      </c>
      <c r="B10" s="14" t="s">
        <v>75</v>
      </c>
      <c r="C10" s="14" t="s">
        <v>76</v>
      </c>
      <c r="D10" s="16" t="s">
        <v>33</v>
      </c>
    </row>
    <row r="11" ht="27.75" customHeight="1">
      <c r="A11" s="11" t="s">
        <v>74</v>
      </c>
      <c r="B11" s="11" t="s">
        <v>77</v>
      </c>
      <c r="C11" s="11" t="s">
        <v>78</v>
      </c>
      <c r="D11" s="9" t="s">
        <v>79</v>
      </c>
    </row>
    <row r="12" ht="27.75" customHeight="1">
      <c r="A12" s="14" t="s">
        <v>74</v>
      </c>
      <c r="B12" s="14" t="s">
        <v>84</v>
      </c>
      <c r="C12" s="14" t="s">
        <v>85</v>
      </c>
      <c r="D12" s="16" t="s">
        <v>86</v>
      </c>
    </row>
    <row r="13" ht="27.75" customHeight="1">
      <c r="A13" s="11" t="s">
        <v>74</v>
      </c>
      <c r="B13" s="11" t="s">
        <v>88</v>
      </c>
      <c r="C13" s="11" t="s">
        <v>90</v>
      </c>
      <c r="D13" s="9" t="s">
        <v>20</v>
      </c>
    </row>
    <row r="15" ht="15.0" customHeight="1">
      <c r="A15" s="3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7"/>
  </mergeCells>
  <printOptions/>
  <pageMargins bottom="1.0" footer="0.0" header="0.0" left="0.75" right="0.75" top="1.0"/>
  <pageSetup paperSize="9" orientation="portrait"/>
  <drawing r:id="rId1"/>
</worksheet>
</file>